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set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<sst xmlns="http://schemas.openxmlformats.org/spreadsheetml/2006/main" count="67" uniqueCount="67">
  <si>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TitanOS — per-family price and property-management offset</t>
  </si>
  <si>
    <t xml:space="preserve">Fill the yellow cells for one prospect. Everything else calculates. Blue text = an input you may change; black = a formula.</t>
  </si>
  <si>
    <t xml:space="preserve">THE HOUSEHOLD</t>
  </si>
  <si>
    <t xml:space="preserve">HOW TO READ THIS</t>
  </si>
  <si>
    <t xml:space="preserve">Household name</t>
  </si>
  <si>
    <t xml:space="preserve">Prospect name here</t>
  </si>
  <si>
    <t xml:space="preserve">Properties</t>
  </si>
  <si>
    <t xml:space="preserve">Fill the yellow cells. Row 8 is MONTHLY rent — the single most likely</t>
  </si>
  <si>
    <t xml:space="preserve">Entities (LLCs, trusts)</t>
  </si>
  <si>
    <t xml:space="preserve">input error, and it moves every figure below by 12x.</t>
  </si>
  <si>
    <t xml:space="preserve">Gross rental income — MONTHLY</t>
  </si>
  <si>
    <t xml:space="preserve">← monthly, not annual</t>
  </si>
  <si>
    <t xml:space="preserve">Gross rental income — annual</t>
  </si>
  <si>
    <t xml:space="preserve">BEFORE YOU USE THE OFFSET IN A PROPOSAL</t>
  </si>
  <si>
    <t xml:space="preserve">WHAT THEY PAY A MANAGER TODAY</t>
  </si>
  <si>
    <t xml:space="preserve">Confirm the family actually pays an outside manager. Across PCM's four</t>
  </si>
  <si>
    <t xml:space="preserve">Management fee % of gross rent</t>
  </si>
  <si>
    <t xml:space="preserve">Market: 8–12%, 10% typical</t>
  </si>
  <si>
    <t xml:space="preserve">households the only management fee on file is one Lamb property at 10%</t>
  </si>
  <si>
    <t xml:space="preserve">Leasing + renewal + maintenance markup, as % of gross</t>
  </si>
  <si>
    <t xml:space="preserve">Industry all-in figure is 15–20% incl. this</t>
  </si>
  <si>
    <t xml:space="preserve">($3,000/yr); all six Kilcoyne properties record 0%, on $677,616 of</t>
  </si>
  <si>
    <t xml:space="preserve">Annual fee at the headline rate</t>
  </si>
  <si>
    <t xml:space="preserve">gross rent. If a family self-manages there is no fee to displace, and</t>
  </si>
  <si>
    <t xml:space="preserve">All-in annual cost of outside management</t>
  </si>
  <si>
    <t xml:space="preserve">the pitch is 'we take this off your desk', not 'we save you money'.</t>
  </si>
  <si>
    <t xml:space="preserve">TITAN PRICING</t>
  </si>
  <si>
    <t xml:space="preserve">Core</t>
  </si>
  <si>
    <t xml:space="preserve">Private</t>
  </si>
  <si>
    <t xml:space="preserve">Estate</t>
  </si>
  <si>
    <t xml:space="preserve">Confirm what PCM actually replaces. Property management is a service:</t>
  </si>
  <si>
    <t xml:space="preserve">Monthly fee</t>
  </si>
  <si>
    <t xml:space="preserve">rent collection, tenant calls, maintenance dispatch, turnover. If PCM</t>
  </si>
  <si>
    <t xml:space="preserve">Onboarding (one-off)</t>
  </si>
  <si>
    <t xml:space="preserve">does oversight and coordination but not those, the family cannot fire</t>
  </si>
  <si>
    <t xml:space="preserve">Properties included</t>
  </si>
  <si>
    <t xml:space="preserve">their manager and the honest claim is a PARTIAL offset. Set row 12 to</t>
  </si>
  <si>
    <t xml:space="preserve">Entities included</t>
  </si>
  <si>
    <t xml:space="preserve">the portion genuinely displaced rather than the full rate.</t>
  </si>
  <si>
    <t xml:space="preserve">Per extra property, per month</t>
  </si>
  <si>
    <t xml:space="preserve">Per extra entity, per month</t>
  </si>
  <si>
    <t xml:space="preserve">SOURCES FOR THE BENCHMARKS</t>
  </si>
  <si>
    <t xml:space="preserve">QUOTE FOR THIS HOUSEHOLD</t>
  </si>
  <si>
    <t xml:space="preserve">8–12% of gross rent, 10% typical for single-family, ~8.5% residential</t>
  </si>
  <si>
    <t xml:space="preserve">Base fee, annual</t>
  </si>
  <si>
    <t xml:space="preserve">national average; all-in 15–20% once leasing (50–100% of first month's</t>
  </si>
  <si>
    <t xml:space="preserve">Property overage, annual</t>
  </si>
  <si>
    <t xml:space="preserve">rent) and maintenance markups are counted.</t>
  </si>
  <si>
    <t xml:space="preserve">Entity overage, annual</t>
  </si>
  <si>
    <t xml:space="preserve">  home365.co/general-knowledge/property-management/</t>
  </si>
  <si>
    <t xml:space="preserve">Total annual fee</t>
  </si>
  <si>
    <t xml:space="preserve">    property-management-fees-2026/</t>
  </si>
  <si>
    <t xml:space="preserve">Year one, including onboarding</t>
  </si>
  <si>
    <t xml:space="preserve">  allpropertymanagement.com/resources/ask-a-pro/posts/</t>
  </si>
  <si>
    <t xml:space="preserve">    how-much-property-managers-charge/</t>
  </si>
  <si>
    <t xml:space="preserve">THE OFFSET</t>
  </si>
  <si>
    <t xml:space="preserve">  thepropertyceo.com/blog/property-management-fees-guide</t>
  </si>
  <si>
    <t xml:space="preserve">Outside management displaced (all-in)</t>
  </si>
  <si>
    <t xml:space="preserve">Net annual cost after the offset</t>
  </si>
  <si>
    <t xml:space="preserve">Default tier prices come from docs/PRICING-per-family.md; the market</t>
  </si>
  <si>
    <t xml:space="preserve">Covered by the offset alone?</t>
  </si>
  <si>
    <t xml:space="preserve">comparison and unit economics behind them are in that memo.</t>
  </si>
  <si>
    <t xml:space="preserve">Offset as a share of our fee</t>
  </si>
  <si>
    <t xml:space="preserve">BREAKEVEN — the gross rent at which each tier pays for itself</t>
  </si>
  <si>
    <t xml:space="preserve">At the headline management rate only</t>
  </si>
  <si>
    <t xml:space="preserve">At the all-in rate</t>
  </si>
  <si>
    <t xml:space="preserve">Example row above is a realistic household (6 properties, 3 entities, $25,000/month rent) — replace with the prospect's own figures.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</si>
</sst>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\$#,##0;&quot;($&quot;#,##0\)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92B49"/>
      <name val="Arial"/>
      <family val="0"/>
      <charset val="1"/>
    </font>
    <font>
      <i val="true"/>
      <sz val="9"/>
      <color rgb="FF5A6E8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92B49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EB684"/>
        <bgColor rgb="FFD8CDB8"/>
      </patternFill>
    </fill>
    <fill>
      <patternFill patternType="solid">
        <fgColor rgb="FFF9F7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DB8"/>
      </left>
      <right style="thin">
        <color rgb="FFD8CDB8"/>
      </right>
      <top style="thin">
        <color rgb="FFD8CDB8"/>
      </top>
      <bottom style="thin">
        <color rgb="FFD8CD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DB8"/>
      <rgbColor rgb="FF808080"/>
      <rgbColor rgb="FF9999FF"/>
      <rgbColor rgb="FF993366"/>
      <rgbColor rgb="FFF9F7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EB684"/>
      <rgbColor rgb="FF3366FF"/>
      <rgbColor rgb="FF33CCCC"/>
      <rgbColor rgb="FF99CC00"/>
      <rgbColor rgb="FFFFCC00"/>
      <rgbColor rgb="FFFF9900"/>
      <rgbColor rgb="FFFF6600"/>
      <rgbColor rgb="FF5A6E84"/>
      <rgbColor rgb="FF969696"/>
      <rgbColor rgb="FF092B4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F4" s="5" t="s">
        <v>3</v>
      </c>
    </row>
    <row r="5" customFormat="false" ht="15" hidden="false" customHeight="false" outlineLevel="0" collapsed="false">
      <c r="A5" s="6" t="s">
        <v>4</v>
      </c>
      <c r="B5" s="7" t="s">
        <v>5</v>
      </c>
      <c r="F5" s="8"/>
    </row>
    <row r="6" customFormat="false" ht="15" hidden="false" customHeight="false" outlineLevel="0" collapsed="false">
      <c r="A6" s="6" t="s">
        <v>6</v>
      </c>
      <c r="B6" s="9" t="n">
        <v>6</v>
      </c>
      <c r="F6" s="8" t="s">
        <v>7</v>
      </c>
    </row>
    <row r="7" customFormat="false" ht="15" hidden="false" customHeight="false" outlineLevel="0" collapsed="false">
      <c r="A7" s="6" t="s">
        <v>8</v>
      </c>
      <c r="B7" s="9" t="n">
        <v>3</v>
      </c>
      <c r="F7" s="8" t="s">
        <v>9</v>
      </c>
    </row>
    <row r="8" customFormat="false" ht="15" hidden="false" customHeight="false" outlineLevel="0" collapsed="false">
      <c r="A8" s="6" t="s">
        <v>10</v>
      </c>
      <c r="B8" s="10" t="n">
        <v>25000</v>
      </c>
      <c r="C8" s="2" t="s">
        <v>11</v>
      </c>
      <c r="F8" s="8"/>
    </row>
    <row r="9" customFormat="false" ht="15" hidden="false" customHeight="false" outlineLevel="0" collapsed="false">
      <c r="A9" s="11" t="s">
        <v>12</v>
      </c>
      <c r="B9" s="12" t="n">
        <f aca="false">B8*12</f>
        <v>300000</v>
      </c>
      <c r="F9" s="5" t="s">
        <v>13</v>
      </c>
    </row>
    <row r="10" customFormat="false" ht="15" hidden="false" customHeight="false" outlineLevel="0" collapsed="false">
      <c r="F10" s="8"/>
    </row>
    <row r="11" customFormat="false" ht="15" hidden="false" customHeight="false" outlineLevel="0" collapsed="false">
      <c r="A11" s="3" t="s">
        <v>14</v>
      </c>
      <c r="B11" s="4"/>
      <c r="C11" s="4"/>
      <c r="F11" s="8" t="s">
        <v>15</v>
      </c>
    </row>
    <row r="12" customFormat="false" ht="15" hidden="false" customHeight="false" outlineLevel="0" collapsed="false">
      <c r="A12" s="6" t="s">
        <v>16</v>
      </c>
      <c r="B12" s="13" t="n">
        <v>0.1</v>
      </c>
      <c r="C12" s="2" t="s">
        <v>17</v>
      </c>
      <c r="F12" s="8" t="s">
        <v>18</v>
      </c>
    </row>
    <row r="13" customFormat="false" ht="15" hidden="false" customHeight="false" outlineLevel="0" collapsed="false">
      <c r="A13" s="6" t="s">
        <v>19</v>
      </c>
      <c r="B13" s="13" t="n">
        <v>0.05</v>
      </c>
      <c r="C13" s="2" t="s">
        <v>20</v>
      </c>
      <c r="F13" s="8" t="s">
        <v>21</v>
      </c>
    </row>
    <row r="14" customFormat="false" ht="15" hidden="false" customHeight="false" outlineLevel="0" collapsed="false">
      <c r="A14" s="6" t="s">
        <v>22</v>
      </c>
      <c r="B14" s="14" t="n">
        <f aca="false">B9*B12</f>
        <v>30000</v>
      </c>
      <c r="F14" s="8" t="s">
        <v>23</v>
      </c>
    </row>
    <row r="15" customFormat="false" ht="15" hidden="false" customHeight="false" outlineLevel="0" collapsed="false">
      <c r="A15" s="11" t="s">
        <v>24</v>
      </c>
      <c r="B15" s="15" t="n">
        <f aca="false">B9*(B12+B13)</f>
        <v>45000</v>
      </c>
      <c r="F15" s="8" t="s">
        <v>25</v>
      </c>
    </row>
    <row r="16" customFormat="false" ht="15" hidden="false" customHeight="false" outlineLevel="0" collapsed="false">
      <c r="F16" s="8"/>
    </row>
    <row r="17" customFormat="false" ht="15" hidden="false" customHeight="false" outlineLevel="0" collapsed="false">
      <c r="A17" s="3" t="s">
        <v>26</v>
      </c>
      <c r="B17" s="16" t="s">
        <v>27</v>
      </c>
      <c r="C17" s="16" t="s">
        <v>28</v>
      </c>
      <c r="D17" s="16" t="s">
        <v>29</v>
      </c>
      <c r="E17" s="4"/>
      <c r="F17" s="8" t="s">
        <v>30</v>
      </c>
    </row>
    <row r="18" customFormat="false" ht="15" hidden="false" customHeight="false" outlineLevel="0" collapsed="false">
      <c r="A18" s="6" t="s">
        <v>31</v>
      </c>
      <c r="B18" s="10" t="n">
        <v>750</v>
      </c>
      <c r="C18" s="10" t="n">
        <v>2500</v>
      </c>
      <c r="D18" s="10" t="n">
        <v>5000</v>
      </c>
      <c r="F18" s="8" t="s">
        <v>32</v>
      </c>
    </row>
    <row r="19" customFormat="false" ht="15" hidden="false" customHeight="false" outlineLevel="0" collapsed="false">
      <c r="A19" s="6" t="s">
        <v>33</v>
      </c>
      <c r="B19" s="10" t="n">
        <v>3500</v>
      </c>
      <c r="C19" s="10" t="n">
        <v>7500</v>
      </c>
      <c r="D19" s="10" t="n">
        <v>15000</v>
      </c>
      <c r="F19" s="8" t="s">
        <v>34</v>
      </c>
    </row>
    <row r="20" customFormat="false" ht="15" hidden="false" customHeight="false" outlineLevel="0" collapsed="false">
      <c r="A20" s="6" t="s">
        <v>35</v>
      </c>
      <c r="B20" s="9" t="n">
        <v>3</v>
      </c>
      <c r="C20" s="9" t="n">
        <v>6</v>
      </c>
      <c r="D20" s="9" t="n">
        <v>12</v>
      </c>
      <c r="F20" s="8" t="s">
        <v>36</v>
      </c>
    </row>
    <row r="21" customFormat="false" ht="15" hidden="false" customHeight="false" outlineLevel="0" collapsed="false">
      <c r="A21" s="6" t="s">
        <v>37</v>
      </c>
      <c r="B21" s="9" t="n">
        <v>1</v>
      </c>
      <c r="C21" s="9" t="n">
        <v>3</v>
      </c>
      <c r="D21" s="9" t="n">
        <v>6</v>
      </c>
      <c r="F21" s="8" t="s">
        <v>38</v>
      </c>
    </row>
    <row r="22" customFormat="false" ht="15" hidden="false" customHeight="false" outlineLevel="0" collapsed="false">
      <c r="A22" s="6" t="s">
        <v>39</v>
      </c>
      <c r="B22" s="10" t="n">
        <v>200</v>
      </c>
      <c r="C22" s="10" t="n">
        <v>200</v>
      </c>
      <c r="D22" s="10" t="n">
        <v>200</v>
      </c>
      <c r="F22" s="8"/>
    </row>
    <row r="23" customFormat="false" ht="15" hidden="false" customHeight="false" outlineLevel="0" collapsed="false">
      <c r="A23" s="6" t="s">
        <v>40</v>
      </c>
      <c r="B23" s="10" t="n">
        <v>150</v>
      </c>
      <c r="C23" s="10" t="n">
        <v>150</v>
      </c>
      <c r="D23" s="10" t="n">
        <v>150</v>
      </c>
      <c r="F23" s="5" t="s">
        <v>41</v>
      </c>
    </row>
    <row r="24" customFormat="false" ht="15" hidden="false" customHeight="false" outlineLevel="0" collapsed="false">
      <c r="F24" s="8"/>
    </row>
    <row r="25" customFormat="false" ht="15" hidden="false" customHeight="false" outlineLevel="0" collapsed="false">
      <c r="A25" s="3" t="s">
        <v>42</v>
      </c>
      <c r="B25" s="4"/>
      <c r="C25" s="4"/>
      <c r="D25" s="4"/>
      <c r="E25" s="4"/>
      <c r="F25" s="8" t="s">
        <v>43</v>
      </c>
    </row>
    <row r="26" customFormat="false" ht="15" hidden="false" customHeight="false" outlineLevel="0" collapsed="false">
      <c r="A26" s="6" t="s">
        <v>44</v>
      </c>
      <c r="B26" s="14" t="n">
        <f aca="false">B18*12</f>
        <v>9000</v>
      </c>
      <c r="C26" s="14" t="n">
        <f aca="false">C18*12</f>
        <v>30000</v>
      </c>
      <c r="D26" s="14" t="n">
        <f aca="false">D18*12</f>
        <v>60000</v>
      </c>
      <c r="F26" s="8" t="s">
        <v>45</v>
      </c>
    </row>
    <row r="27" customFormat="false" ht="15" hidden="false" customHeight="false" outlineLevel="0" collapsed="false">
      <c r="A27" s="6" t="s">
        <v>46</v>
      </c>
      <c r="B27" s="14" t="n">
        <f aca="false">MAX(0,$B$6-B20)*B22*12</f>
        <v>7200</v>
      </c>
      <c r="C27" s="14" t="n">
        <f aca="false">MAX(0,$B$6-C20)*C22*12</f>
        <v>0</v>
      </c>
      <c r="D27" s="14" t="n">
        <f aca="false">MAX(0,$B$6-D20)*D22*12</f>
        <v>0</v>
      </c>
      <c r="F27" s="8" t="s">
        <v>47</v>
      </c>
    </row>
    <row r="28" customFormat="false" ht="15" hidden="false" customHeight="false" outlineLevel="0" collapsed="false">
      <c r="A28" s="6" t="s">
        <v>48</v>
      </c>
      <c r="B28" s="14" t="n">
        <f aca="false">MAX(0,$B$7-B21)*B23*12</f>
        <v>3600</v>
      </c>
      <c r="C28" s="14" t="n">
        <f aca="false">MAX(0,$B$7-C21)*C23*12</f>
        <v>0</v>
      </c>
      <c r="D28" s="14" t="n">
        <f aca="false">MAX(0,$B$7-D21)*D23*12</f>
        <v>0</v>
      </c>
      <c r="F28" s="8" t="s">
        <v>49</v>
      </c>
    </row>
    <row r="29" customFormat="false" ht="15" hidden="false" customHeight="false" outlineLevel="0" collapsed="false">
      <c r="A29" s="11" t="s">
        <v>50</v>
      </c>
      <c r="B29" s="17" t="n">
        <f aca="false">SUM(B26:B28)</f>
        <v>19800</v>
      </c>
      <c r="C29" s="17" t="n">
        <f aca="false">SUM(C26:C28)</f>
        <v>30000</v>
      </c>
      <c r="D29" s="17" t="n">
        <f aca="false">SUM(D26:D28)</f>
        <v>60000</v>
      </c>
      <c r="F29" s="8" t="s">
        <v>51</v>
      </c>
    </row>
    <row r="30" customFormat="false" ht="15" hidden="false" customHeight="false" outlineLevel="0" collapsed="false">
      <c r="A30" s="11" t="s">
        <v>52</v>
      </c>
      <c r="B30" s="17" t="n">
        <f aca="false">B29+B19</f>
        <v>23300</v>
      </c>
      <c r="C30" s="17" t="n">
        <f aca="false">C29+C19</f>
        <v>37500</v>
      </c>
      <c r="D30" s="17" t="n">
        <f aca="false">D29+D19</f>
        <v>75000</v>
      </c>
      <c r="F30" s="8" t="s">
        <v>53</v>
      </c>
    </row>
    <row r="31" customFormat="false" ht="15" hidden="false" customHeight="false" outlineLevel="0" collapsed="false">
      <c r="F31" s="8" t="s">
        <v>54</v>
      </c>
    </row>
    <row r="32" customFormat="false" ht="15" hidden="false" customHeight="false" outlineLevel="0" collapsed="false">
      <c r="A32" s="3" t="s">
        <v>55</v>
      </c>
      <c r="B32" s="4"/>
      <c r="C32" s="4"/>
      <c r="D32" s="4"/>
      <c r="E32" s="4"/>
      <c r="F32" s="8" t="s">
        <v>56</v>
      </c>
    </row>
    <row r="33" customFormat="false" ht="15" hidden="false" customHeight="false" outlineLevel="0" collapsed="false">
      <c r="A33" s="6" t="s">
        <v>57</v>
      </c>
      <c r="B33" s="14" t="n">
        <f aca="false">$B$15</f>
        <v>45000</v>
      </c>
      <c r="C33" s="14" t="n">
        <f aca="false">$B$15</f>
        <v>45000</v>
      </c>
      <c r="D33" s="14" t="n">
        <f aca="false">$B$15</f>
        <v>45000</v>
      </c>
      <c r="F33" s="8"/>
    </row>
    <row r="34" customFormat="false" ht="15" hidden="false" customHeight="false" outlineLevel="0" collapsed="false">
      <c r="A34" s="11" t="s">
        <v>58</v>
      </c>
      <c r="B34" s="12" t="n">
        <f aca="false">B29-B33</f>
        <v>-25200</v>
      </c>
      <c r="C34" s="12" t="n">
        <f aca="false">C29-C33</f>
        <v>-15000</v>
      </c>
      <c r="D34" s="12" t="n">
        <f aca="false">D29-D33</f>
        <v>15000</v>
      </c>
      <c r="F34" s="8" t="s">
        <v>59</v>
      </c>
    </row>
    <row r="35" customFormat="false" ht="15" hidden="false" customHeight="false" outlineLevel="0" collapsed="false">
      <c r="A35" s="11" t="s">
        <v>60</v>
      </c>
      <c r="B35" s="18" t="str">
        <f aca="false">IF(B33&gt;=B29,"Yes","No")</f>
        <v>Yes</v>
      </c>
      <c r="C35" s="18" t="str">
        <f aca="false">IF(C33&gt;=C29,"Yes","No")</f>
        <v>Yes</v>
      </c>
      <c r="D35" s="18" t="str">
        <f aca="false">IF(D33&gt;=D29,"Yes","No")</f>
        <v>No</v>
      </c>
      <c r="F35" s="8" t="s">
        <v>61</v>
      </c>
    </row>
    <row r="36" customFormat="false" ht="15" hidden="false" customHeight="false" outlineLevel="0" collapsed="false">
      <c r="A36" s="6" t="s">
        <v>62</v>
      </c>
      <c r="B36" s="19" t="n">
        <f aca="false">IFERROR(B33/B29,0)</f>
        <v>2.27272727272727</v>
      </c>
      <c r="C36" s="19" t="n">
        <f aca="false">IFERROR(C33/C29,0)</f>
        <v>1.5</v>
      </c>
      <c r="D36" s="19" t="n">
        <f aca="false">IFERROR(D33/D29,0)</f>
        <v>0.75</v>
      </c>
    </row>
    <row r="38" customFormat="false" ht="15" hidden="false" customHeight="false" outlineLevel="0" collapsed="false">
      <c r="A38" s="3" t="s">
        <v>63</v>
      </c>
      <c r="B38" s="4"/>
      <c r="C38" s="4"/>
      <c r="D38" s="4"/>
      <c r="E38" s="4"/>
    </row>
    <row r="39" customFormat="false" ht="15" hidden="false" customHeight="false" outlineLevel="0" collapsed="false">
      <c r="A39" s="6" t="s">
        <v>64</v>
      </c>
      <c r="B39" s="14" t="n">
        <f aca="false">IFERROR(B29/$B$12,0)</f>
        <v>198000</v>
      </c>
      <c r="C39" s="14" t="n">
        <f aca="false">IFERROR(C29/$B$12,0)</f>
        <v>300000</v>
      </c>
      <c r="D39" s="14" t="n">
        <f aca="false">IFERROR(D29/$B$12,0)</f>
        <v>600000</v>
      </c>
    </row>
    <row r="40" customFormat="false" ht="15" hidden="false" customHeight="false" outlineLevel="0" collapsed="false">
      <c r="A40" s="6" t="s">
        <v>65</v>
      </c>
      <c r="B40" s="14" t="n">
        <f aca="false">IFERROR(B29/($B$12+$B$13),0)</f>
        <v>132000</v>
      </c>
      <c r="C40" s="14" t="n">
        <f aca="false">IFERROR(C29/($B$12+$B$13),0)</f>
        <v>200000</v>
      </c>
      <c r="D40" s="14" t="n">
        <f aca="false">IFERROR(D29/($B$12+$B$13),0)</f>
        <v>400000</v>
      </c>
    </row>
    <row r="42" customFormat="false" ht="15" hidden="false" customHeight="false" outlineLevel="0" collapsed="false">
      <c r="A42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2026-07-31T23:53:18Z</dcterms:created>
  <dc:creator>openpyxl</dc:creator>
  <dc:description/>
  <dc:language>en-US</dc:language>
  <cp:lastModifiedBy/>
  <dcterms:modified xsi:type="dcterms:W3CDTF">2026-07-31T23:53:18Z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